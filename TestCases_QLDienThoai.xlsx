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TongHop" sheetId="2" state="visible" r:id="rId2"/>
  </sheets>
  <definedNames>
    <definedName name="_xlnm._FilterDatabase" localSheetId="0" hidden="1">'TestCases'!$A$4:$J$38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3233A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13233A"/>
      <sz val="13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4">
    <fill>
      <patternFill/>
    </fill>
    <fill>
      <patternFill patternType="gray125"/>
    </fill>
    <fill>
      <patternFill patternType="solid">
        <fgColor rgb="FF13233A"/>
        <bgColor rgb="FF003366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323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0CC"/>
      <rgbColor rgb="FF888888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3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3" min="1" max="1"/>
    <col width="16" customWidth="1" style="13" min="2" max="2"/>
    <col width="28" customWidth="1" style="13" min="3" max="3"/>
    <col width="24" customWidth="1" style="13" min="4" max="4"/>
    <col width="34" customWidth="1" style="13" min="5" max="5"/>
    <col width="28" customWidth="1" style="13" min="6" max="6"/>
    <col width="40" customWidth="1" style="13" min="7" max="7"/>
    <col width="30" customWidth="1" style="13" min="8" max="8"/>
    <col width="10" customWidth="1" style="13" min="9" max="9"/>
    <col width="16" customWidth="1" style="13" min="10" max="10"/>
  </cols>
  <sheetData>
    <row r="1" ht="17.35" customHeight="1" s="14">
      <c r="A1" s="15" t="inlineStr">
        <is>
          <t>BẢNG KIỂM THỬ – WEBSITE BÁN ĐIỆN THOẠI DI ĐỘNG (ĐỀ 17)</t>
        </is>
      </c>
    </row>
    <row r="2" ht="15" customHeight="1" s="14">
      <c r="A2" s="16" t="inlineStr">
        <is>
          <t>Hướng dẫn: chạy từng ca trên ứng dụng, ghi vào cột H (kết quả thực tế) và chọn Pass/Fail ở cột I (ô nền vàng). Hàng TC01 có ví dụ cách ghi.</t>
        </is>
      </c>
    </row>
    <row r="4" ht="30" customHeight="1" s="14">
      <c r="A4" s="17" t="inlineStr">
        <is>
          <t>Mã TC</t>
        </is>
      </c>
      <c r="B4" s="17" t="inlineStr">
        <is>
          <t>Chức năng</t>
        </is>
      </c>
      <c r="C4" s="17" t="inlineStr">
        <is>
          <t>Mục tiêu kiểm thử</t>
        </is>
      </c>
      <c r="D4" s="17" t="inlineStr">
        <is>
          <t>Tiền điều kiện</t>
        </is>
      </c>
      <c r="E4" s="17" t="inlineStr">
        <is>
          <t>Các bước</t>
        </is>
      </c>
      <c r="F4" s="17" t="inlineStr">
        <is>
          <t>Dữ liệu vào</t>
        </is>
      </c>
      <c r="G4" s="17" t="inlineStr">
        <is>
          <t>Kết quả mong đợi</t>
        </is>
      </c>
      <c r="H4" s="17" t="inlineStr">
        <is>
          <t>Kết quả thực tế</t>
        </is>
      </c>
      <c r="I4" s="17" t="inlineStr">
        <is>
          <t>Pass/Fail</t>
        </is>
      </c>
      <c r="J4" s="17" t="inlineStr">
        <is>
          <t>Ghi chú</t>
        </is>
      </c>
    </row>
    <row r="5" ht="46.25" customHeight="1" s="14">
      <c r="A5" s="18" t="inlineStr">
        <is>
          <t>TC01</t>
        </is>
      </c>
      <c r="B5" s="19" t="inlineStr">
        <is>
          <t>Tài khoản</t>
        </is>
      </c>
      <c r="C5" s="19" t="inlineStr">
        <is>
          <t>Đăng ký khách hàng hợp lệ</t>
        </is>
      </c>
      <c r="D5" s="19" t="inlineStr">
        <is>
          <t>Chưa đăng nhập</t>
        </is>
      </c>
      <c r="E5" s="19" t="inlineStr">
        <is>
          <t>1. Vào /TaiKhoan/DangKy
2. Nhập đủ thông tin
3. Bấm Đăng ký</t>
        </is>
      </c>
      <c r="F5" s="19" t="inlineStr">
        <is>
          <t>TenDangNhap=test01, MK=Test@123 (x2), HoTen=Nguyễn Test, SĐT=0912000111</t>
        </is>
      </c>
      <c r="G5" s="19" t="inlineStr">
        <is>
          <t>Thông báo "Đăng ký thành công", chuyển sang trang đăng nhập; mật khẩu lưu dạng hash</t>
        </is>
      </c>
      <c r="H5" s="20" t="inlineStr">
        <is>
          <t>Ví dụ: Hiện thông báo đăng ký thành công, chuyển sang trang đăng nhập</t>
        </is>
      </c>
      <c r="I5" s="21" t="n"/>
      <c r="J5" s="22" t="inlineStr">
        <is>
          <t>Dòng ví dụ – sửa lại theo kết quả chạy thật</t>
        </is>
      </c>
    </row>
    <row r="6" ht="23.85" customHeight="1" s="14">
      <c r="A6" s="18" t="inlineStr">
        <is>
          <t>TC02</t>
        </is>
      </c>
      <c r="B6" s="19" t="inlineStr">
        <is>
          <t>Tài khoản</t>
        </is>
      </c>
      <c r="C6" s="19" t="inlineStr">
        <is>
          <t>Đăng ký trùng tên đăng nhập</t>
        </is>
      </c>
      <c r="D6" s="19" t="inlineStr">
        <is>
          <t>Đã có tài khoản khachhang</t>
        </is>
      </c>
      <c r="E6" s="19" t="inlineStr">
        <is>
          <t>Đăng ký với tên đăng nhập đã tồn tại</t>
        </is>
      </c>
      <c r="F6" s="19" t="inlineStr">
        <is>
          <t>TenDangNhap=khachhang</t>
        </is>
      </c>
      <c r="G6" s="19" t="inlineStr">
        <is>
          <t>Lỗi "Tên đăng nhập đã tồn tại", không tạo tài khoản</t>
        </is>
      </c>
      <c r="H6" s="20" t="n"/>
      <c r="I6" s="21" t="n"/>
      <c r="J6" s="19" t="n"/>
    </row>
    <row r="7" ht="23.85" customHeight="1" s="14">
      <c r="A7" s="18" t="inlineStr">
        <is>
          <t>TC03</t>
        </is>
      </c>
      <c r="B7" s="19" t="inlineStr">
        <is>
          <t>Tài khoản</t>
        </is>
      </c>
      <c r="C7" s="19" t="inlineStr">
        <is>
          <t>Đăng ký số điện thoại sai định dạng</t>
        </is>
      </c>
      <c r="D7" s="19" t="inlineStr">
        <is>
          <t>Chưa đăng nhập</t>
        </is>
      </c>
      <c r="E7" s="19" t="inlineStr">
        <is>
          <t>Nhập SĐT sai rồi bấm Đăng ký</t>
        </is>
      </c>
      <c r="F7" s="19" t="inlineStr">
        <is>
          <t>SĐT=12345</t>
        </is>
      </c>
      <c r="G7" s="19" t="inlineStr">
        <is>
          <t>Lỗi "Số điện thoại phải gồm 10 chữ số, bắt đầu bằng 0"</t>
        </is>
      </c>
      <c r="H7" s="20" t="n"/>
      <c r="I7" s="21" t="n"/>
      <c r="J7" s="19" t="n"/>
    </row>
    <row r="8" ht="23.85" customHeight="1" s="14">
      <c r="A8" s="18" t="inlineStr">
        <is>
          <t>TC04</t>
        </is>
      </c>
      <c r="B8" s="19" t="inlineStr">
        <is>
          <t>Tài khoản</t>
        </is>
      </c>
      <c r="C8" s="19" t="inlineStr">
        <is>
          <t>Đăng nhập đúng</t>
        </is>
      </c>
      <c r="D8" s="19" t="inlineStr">
        <is>
          <t>Có tài khoản admin</t>
        </is>
      </c>
      <c r="E8" s="19" t="inlineStr">
        <is>
          <t>Đăng nhập</t>
        </is>
      </c>
      <c r="F8" s="19" t="inlineStr">
        <is>
          <t>admin / Admin@123</t>
        </is>
      </c>
      <c r="G8" s="19" t="inlineStr">
        <is>
          <t>Đăng nhập thành công, chuyển tới trang quản trị (Dashboard)</t>
        </is>
      </c>
      <c r="H8" s="20" t="n"/>
      <c r="I8" s="21" t="n"/>
      <c r="J8" s="19" t="n"/>
    </row>
    <row r="9" ht="15" customHeight="1" s="14">
      <c r="A9" s="18" t="inlineStr">
        <is>
          <t>TC05</t>
        </is>
      </c>
      <c r="B9" s="19" t="inlineStr">
        <is>
          <t>Tài khoản</t>
        </is>
      </c>
      <c r="C9" s="19" t="inlineStr">
        <is>
          <t>Đăng nhập sai mật khẩu</t>
        </is>
      </c>
      <c r="D9" s="19" t="inlineStr">
        <is>
          <t>Có tài khoản khachhang</t>
        </is>
      </c>
      <c r="E9" s="19" t="inlineStr">
        <is>
          <t>Đăng nhập sai mật khẩu</t>
        </is>
      </c>
      <c r="F9" s="19" t="inlineStr">
        <is>
          <t>khachhang / sai123</t>
        </is>
      </c>
      <c r="G9" s="19" t="inlineStr">
        <is>
          <t>Lỗi "Tên đăng nhập hoặc mật khẩu không đúng"</t>
        </is>
      </c>
      <c r="H9" s="20" t="n"/>
      <c r="I9" s="21" t="n"/>
      <c r="J9" s="19" t="n"/>
    </row>
    <row r="10" ht="15" customHeight="1" s="14">
      <c r="A10" s="18" t="inlineStr">
        <is>
          <t>TC06</t>
        </is>
      </c>
      <c r="B10" s="19" t="inlineStr">
        <is>
          <t>Phân quyền</t>
        </is>
      </c>
      <c r="C10" s="19" t="inlineStr">
        <is>
          <t>Khách truy cập trang quản trị</t>
        </is>
      </c>
      <c r="D10" s="19" t="inlineStr">
        <is>
          <t>Đăng nhập khachhang</t>
        </is>
      </c>
      <c r="E10" s="19" t="inlineStr">
        <is>
          <t>Mở /Admin/SanPham</t>
        </is>
      </c>
      <c r="F10" s="19" t="inlineStr">
        <is>
          <t>—</t>
        </is>
      </c>
      <c r="G10" s="19" t="inlineStr">
        <is>
          <t>Chuyển tới trang "Không có quyền truy cập"</t>
        </is>
      </c>
      <c r="H10" s="20" t="n"/>
      <c r="I10" s="21" t="n"/>
      <c r="J10" s="19" t="n"/>
    </row>
    <row r="11" ht="23.85" customHeight="1" s="14">
      <c r="A11" s="18" t="inlineStr">
        <is>
          <t>TC07</t>
        </is>
      </c>
      <c r="B11" s="19" t="inlineStr">
        <is>
          <t>Phân quyền</t>
        </is>
      </c>
      <c r="C11" s="19" t="inlineStr">
        <is>
          <t>Nhân viên không được sửa sản phẩm</t>
        </is>
      </c>
      <c r="D11" s="19" t="inlineStr">
        <is>
          <t>Đăng nhập nhanvien</t>
        </is>
      </c>
      <c r="E11" s="19" t="inlineStr">
        <is>
          <t>Mở /Admin/SanPham/Edit/1</t>
        </is>
      </c>
      <c r="F11" s="19" t="inlineStr">
        <is>
          <t>—</t>
        </is>
      </c>
      <c r="G11" s="19" t="inlineStr">
        <is>
          <t>Bị từ chối truy cập; menu Sản phẩm không hiển thị</t>
        </is>
      </c>
      <c r="H11" s="20" t="n"/>
      <c r="I11" s="21" t="n"/>
      <c r="J11" s="19" t="n"/>
    </row>
    <row r="12" ht="15" customHeight="1" s="14">
      <c r="A12" s="18" t="inlineStr">
        <is>
          <t>TC08</t>
        </is>
      </c>
      <c r="B12" s="19" t="inlineStr">
        <is>
          <t>Tìm kiếm</t>
        </is>
      </c>
      <c r="C12" s="19" t="inlineStr">
        <is>
          <t>Tìm theo tên máy</t>
        </is>
      </c>
      <c r="D12" s="19" t="inlineStr">
        <is>
          <t>Có dữ liệu mẫu</t>
        </is>
      </c>
      <c r="E12" s="19" t="inlineStr">
        <is>
          <t>Gõ từ khóa ở ô tìm kiếm</t>
        </is>
      </c>
      <c r="F12" s="19" t="inlineStr">
        <is>
          <t>q=iPhone</t>
        </is>
      </c>
      <c r="G12" s="19" t="inlineStr">
        <is>
          <t>Chỉ hiển thị các sản phẩm có tên chứa "iPhone"</t>
        </is>
      </c>
      <c r="H12" s="20" t="n"/>
      <c r="I12" s="21" t="n"/>
      <c r="J12" s="19" t="n"/>
    </row>
    <row r="13" ht="23.85" customHeight="1" s="14">
      <c r="A13" s="18" t="inlineStr">
        <is>
          <t>TC09</t>
        </is>
      </c>
      <c r="B13" s="19" t="inlineStr">
        <is>
          <t>Lọc</t>
        </is>
      </c>
      <c r="C13" s="19" t="inlineStr">
        <is>
          <t>Lọc theo hãng và khoảng giá</t>
        </is>
      </c>
      <c r="D13" s="19" t="inlineStr">
        <is>
          <t>Có dữ liệu mẫu</t>
        </is>
      </c>
      <c r="E13" s="19" t="inlineStr">
        <is>
          <t>Chọn hãng, nhập giá từ–đến, Áp dụng</t>
        </is>
      </c>
      <c r="F13" s="19" t="inlineStr">
        <is>
          <t>Hãng=Samsung, 5.000.000–15.000.000</t>
        </is>
      </c>
      <c r="G13" s="19" t="inlineStr">
        <is>
          <t>Chỉ hiện Galaxy A56 5G</t>
        </is>
      </c>
      <c r="H13" s="20" t="n"/>
      <c r="I13" s="21" t="n"/>
      <c r="J13" s="19" t="n"/>
    </row>
    <row r="14" ht="23.85" customHeight="1" s="14">
      <c r="A14" s="18" t="inlineStr">
        <is>
          <t>TC10</t>
        </is>
      </c>
      <c r="B14" s="19" t="inlineStr">
        <is>
          <t>Lọc</t>
        </is>
      </c>
      <c r="C14" s="19" t="inlineStr">
        <is>
          <t>Lọc theo dung lượng + sắp xếp giá tăng</t>
        </is>
      </c>
      <c r="D14" s="19" t="inlineStr">
        <is>
          <t>Có dữ liệu mẫu</t>
        </is>
      </c>
      <c r="E14" s="19" t="inlineStr">
        <is>
          <t>Chọn dung lượng, sắp xếp Giá tăng dần</t>
        </is>
      </c>
      <c r="F14" s="19" t="inlineStr">
        <is>
          <t>DungLuong=512GB</t>
        </is>
      </c>
      <c r="G14" s="19" t="inlineStr">
        <is>
          <t>Chỉ máy có bản 512GB, giá thấp nhất đứng đầu</t>
        </is>
      </c>
      <c r="H14" s="20" t="n"/>
      <c r="I14" s="21" t="n"/>
      <c r="J14" s="19" t="n"/>
    </row>
    <row r="15" ht="23.85" customHeight="1" s="14">
      <c r="A15" s="18" t="inlineStr">
        <is>
          <t>TC11</t>
        </is>
      </c>
      <c r="B15" s="19" t="inlineStr">
        <is>
          <t>Phân trang</t>
        </is>
      </c>
      <c r="C15" s="19" t="inlineStr">
        <is>
          <t>Chuyển trang danh sách sản phẩm</t>
        </is>
      </c>
      <c r="D15" s="19" t="inlineStr">
        <is>
          <t>12 sản phẩm, 9 SP/trang</t>
        </is>
      </c>
      <c r="E15" s="19" t="inlineStr">
        <is>
          <t>Bấm trang 2</t>
        </is>
      </c>
      <c r="F15" s="19" t="inlineStr">
        <is>
          <t>page=2</t>
        </is>
      </c>
      <c r="G15" s="19" t="inlineStr">
        <is>
          <t>Trang 2 hiển thị 3 sản phẩm, giữ nguyên bộ lọc trên URL</t>
        </is>
      </c>
      <c r="H15" s="20" t="n"/>
      <c r="I15" s="21" t="n"/>
      <c r="J15" s="19" t="n"/>
    </row>
    <row r="16" ht="23.85" customHeight="1" s="14">
      <c r="A16" s="18" t="inlineStr">
        <is>
          <t>TC12</t>
        </is>
      </c>
      <c r="B16" s="19" t="inlineStr">
        <is>
          <t>So sánh (Session)</t>
        </is>
      </c>
      <c r="C16" s="19" t="inlineStr">
        <is>
          <t>Thêm 3 máy vào so sánh</t>
        </is>
      </c>
      <c r="D16" s="19" t="inlineStr">
        <is>
          <t>Chưa có máy nào</t>
        </is>
      </c>
      <c r="E16" s="19" t="inlineStr">
        <is>
          <t>Bấm "So sánh" ở 3 sản phẩm, mở /SoSanh</t>
        </is>
      </c>
      <c r="F16" s="19" t="inlineStr">
        <is>
          <t>3 sản phẩm bất kỳ</t>
        </is>
      </c>
      <c r="G16" s="19" t="inlineStr">
        <is>
          <t>Bảng so sánh 3 cột thông số</t>
        </is>
      </c>
      <c r="H16" s="20" t="n"/>
      <c r="I16" s="21" t="n"/>
      <c r="J16" s="19" t="n"/>
    </row>
    <row r="17" ht="23.85" customHeight="1" s="14">
      <c r="A17" s="18" t="inlineStr">
        <is>
          <t>TC13</t>
        </is>
      </c>
      <c r="B17" s="19" t="inlineStr">
        <is>
          <t>So sánh (Session)</t>
        </is>
      </c>
      <c r="C17" s="19" t="inlineStr">
        <is>
          <t>Thêm máy thứ 4</t>
        </is>
      </c>
      <c r="D17" s="19" t="inlineStr">
        <is>
          <t>Đã có 3 máy</t>
        </is>
      </c>
      <c r="E17" s="19" t="inlineStr">
        <is>
          <t>Bấm "So sánh" ở sản phẩm thứ 4</t>
        </is>
      </c>
      <c r="F17" s="19" t="inlineStr">
        <is>
          <t>—</t>
        </is>
      </c>
      <c r="G17" s="19" t="inlineStr">
        <is>
          <t>Lỗi "Chỉ so sánh tối đa 3 sản phẩm"; danh sách vẫn 3 máy</t>
        </is>
      </c>
      <c r="H17" s="20" t="n"/>
      <c r="I17" s="21" t="n"/>
      <c r="J17" s="19" t="n"/>
    </row>
    <row r="18" ht="23.85" customHeight="1" s="14">
      <c r="A18" s="18" t="inlineStr">
        <is>
          <t>TC14</t>
        </is>
      </c>
      <c r="B18" s="19" t="inlineStr">
        <is>
          <t>Đã xem (Cookie)</t>
        </is>
      </c>
      <c r="C18" s="19" t="inlineStr">
        <is>
          <t>Lưu sản phẩm đã xem</t>
        </is>
      </c>
      <c r="D18" s="19" t="inlineStr">
        <is>
          <t>Trình duyệt mới</t>
        </is>
      </c>
      <c r="E18" s="19" t="inlineStr">
        <is>
          <t>Xem chi tiết 2 sản phẩm, quay về trang chủ</t>
        </is>
      </c>
      <c r="F18" s="19" t="inlineStr">
        <is>
          <t>—</t>
        </is>
      </c>
      <c r="G18" s="19" t="inlineStr">
        <is>
          <t>Mục "Sản phẩm bạn đã xem" hiện 2 máy; cookie SanPhamDaXem tồn tại 30 ngày</t>
        </is>
      </c>
      <c r="H18" s="20" t="n"/>
      <c r="I18" s="21" t="n"/>
      <c r="J18" s="19" t="n"/>
    </row>
    <row r="19" ht="15" customHeight="1" s="14">
      <c r="A19" s="18" t="inlineStr">
        <is>
          <t>TC15</t>
        </is>
      </c>
      <c r="B19" s="19" t="inlineStr">
        <is>
          <t>Giỏ hàng (Session)</t>
        </is>
      </c>
      <c r="C19" s="19" t="inlineStr">
        <is>
          <t>Thêm vào giỏ hàng</t>
        </is>
      </c>
      <c r="D19" s="19" t="inlineStr">
        <is>
          <t>Phiên bản còn hàng</t>
        </is>
      </c>
      <c r="E19" s="19" t="inlineStr">
        <is>
          <t>Chọn phiên bản, số lượng, Thêm vào giỏ</t>
        </is>
      </c>
      <c r="F19" s="19" t="inlineStr">
        <is>
          <t>iPhone 16 128GB Đen, SL=2</t>
        </is>
      </c>
      <c r="G19" s="19" t="inlineStr">
        <is>
          <t>Badge giỏ hàng = 2; giỏ hiển thị đúng thành tiền</t>
        </is>
      </c>
      <c r="H19" s="20" t="n"/>
      <c r="I19" s="21" t="n"/>
      <c r="J19" s="19" t="n"/>
    </row>
    <row r="20" ht="23.85" customHeight="1" s="14">
      <c r="A20" s="18" t="inlineStr">
        <is>
          <t>TC16</t>
        </is>
      </c>
      <c r="B20" s="19" t="inlineStr">
        <is>
          <t>Giỏ hàng (Session)</t>
        </is>
      </c>
      <c r="C20" s="19" t="inlineStr">
        <is>
          <t>Số lượng vượt tồn kho</t>
        </is>
      </c>
      <c r="D20" s="19" t="inlineStr">
        <is>
          <t>Phiên bản tồn 2 (iPhone 15 256GB)</t>
        </is>
      </c>
      <c r="E20" s="19" t="inlineStr">
        <is>
          <t>Thêm 3 máy vào giỏ</t>
        </is>
      </c>
      <c r="F20" s="19" t="inlineStr">
        <is>
          <t>SL=3</t>
        </is>
      </c>
      <c r="G20" s="19" t="inlineStr">
        <is>
          <t>Lỗi "Chỉ còn 2 máy cho phiên bản này"</t>
        </is>
      </c>
      <c r="H20" s="20" t="n"/>
      <c r="I20" s="21" t="n"/>
      <c r="J20" s="19" t="n"/>
    </row>
    <row r="21" ht="23.85" customHeight="1" s="14">
      <c r="A21" s="18" t="inlineStr">
        <is>
          <t>TC17</t>
        </is>
      </c>
      <c r="B21" s="19" t="inlineStr">
        <is>
          <t>Đặt hàng</t>
        </is>
      </c>
      <c r="C21" s="19" t="inlineStr">
        <is>
          <t>Đặt hàng COD thành công</t>
        </is>
      </c>
      <c r="D21" s="19" t="inlineStr">
        <is>
          <t>Đăng nhập khachhang, giỏ có hàng</t>
        </is>
      </c>
      <c r="E21" s="19" t="inlineStr">
        <is>
          <t>Nhập thông tin, chọn COD, Xác nhận</t>
        </is>
      </c>
      <c r="F21" s="19" t="inlineStr">
        <is>
          <t>Địa chỉ=12 Nguyễn Trãi, Hà Nội</t>
        </is>
      </c>
      <c r="G21" s="19" t="inlineStr">
        <is>
          <t>Tạo đơn "Chờ xác nhận", trừ tồn kho, xóa giỏ, gửi email xác nhận</t>
        </is>
      </c>
      <c r="H21" s="20" t="n"/>
      <c r="I21" s="21" t="n"/>
      <c r="J21" s="19" t="n"/>
    </row>
    <row r="22" ht="23.85" customHeight="1" s="14">
      <c r="A22" s="18" t="inlineStr">
        <is>
          <t>TC18</t>
        </is>
      </c>
      <c r="B22" s="19" t="inlineStr">
        <is>
          <t>Đặt hàng</t>
        </is>
      </c>
      <c r="C22" s="19" t="inlineStr">
        <is>
          <t>Thiếu địa chỉ giao hàng</t>
        </is>
      </c>
      <c r="D22" s="19" t="inlineStr">
        <is>
          <t>Giỏ có hàng</t>
        </is>
      </c>
      <c r="E22" s="19" t="inlineStr">
        <is>
          <t>Để trống địa chỉ, Xác nhận</t>
        </is>
      </c>
      <c r="F22" s="19" t="inlineStr">
        <is>
          <t>DiaChiGiao=""</t>
        </is>
      </c>
      <c r="G22" s="19" t="inlineStr">
        <is>
          <t>Lỗi "Địa chỉ giao hàng là bắt buộc", không tạo đơn</t>
        </is>
      </c>
      <c r="H22" s="20" t="n"/>
      <c r="I22" s="21" t="n"/>
      <c r="J22" s="19" t="n"/>
    </row>
    <row r="23" ht="23.85" customHeight="1" s="14">
      <c r="A23" s="18" t="inlineStr">
        <is>
          <t>TC19</t>
        </is>
      </c>
      <c r="B23" s="19" t="inlineStr">
        <is>
          <t>Đặt hàng</t>
        </is>
      </c>
      <c r="C23" s="19" t="inlineStr">
        <is>
          <t>Đặt trả góp</t>
        </is>
      </c>
      <c r="D23" s="19" t="inlineStr">
        <is>
          <t>Giỏ có hàng</t>
        </is>
      </c>
      <c r="E23" s="19" t="inlineStr">
        <is>
          <t>Chọn Trả góp, trả trước 30%, 12 tháng</t>
        </is>
      </c>
      <c r="F23" s="19" t="inlineStr">
        <is>
          <t>—</t>
        </is>
      </c>
      <c r="G23" s="19" t="inlineStr">
        <is>
          <t>Đơn lưu kỳ hạn 12 tháng và số tiền trả trước = 30% tổng</t>
        </is>
      </c>
      <c r="H23" s="20" t="n"/>
      <c r="I23" s="21" t="n"/>
      <c r="J23" s="19" t="n"/>
    </row>
    <row r="24" ht="23.85" customHeight="1" s="14">
      <c r="A24" s="18" t="inlineStr">
        <is>
          <t>TC20</t>
        </is>
      </c>
      <c r="B24" s="19" t="inlineStr">
        <is>
          <t>Thanh toán</t>
        </is>
      </c>
      <c r="C24" s="19" t="inlineStr">
        <is>
          <t>Thanh toán VNPay sandbox</t>
        </is>
      </c>
      <c r="D24" s="19" t="inlineStr">
        <is>
          <t>Đã cấu hình TmnCode/HashSecret</t>
        </is>
      </c>
      <c r="E24" s="19" t="inlineStr">
        <is>
          <t>Đặt hàng chọn VNPay, thanh toán bằng thẻ test NCB</t>
        </is>
      </c>
      <c r="F24" s="19" t="inlineStr">
        <is>
          <t>Thẻ 9704198526191432198</t>
        </is>
      </c>
      <c r="G24" s="19" t="inlineStr">
        <is>
          <t>Quay về trang kết quả "Thanh toán thành công", đơn DaThanhToan = 1</t>
        </is>
      </c>
      <c r="H24" s="20" t="n"/>
      <c r="I24" s="21" t="n"/>
      <c r="J24" s="19" t="n"/>
    </row>
    <row r="25" ht="15" customHeight="1" s="14">
      <c r="A25" s="18" t="inlineStr">
        <is>
          <t>TC21</t>
        </is>
      </c>
      <c r="B25" s="19" t="inlineStr">
        <is>
          <t>Đơn hàng</t>
        </is>
      </c>
      <c r="C25" s="19" t="inlineStr">
        <is>
          <t>Khách hủy đơn chờ xác nhận</t>
        </is>
      </c>
      <c r="D25" s="19" t="inlineStr">
        <is>
          <t>Có đơn Chờ xác nhận</t>
        </is>
      </c>
      <c r="E25" s="19" t="inlineStr">
        <is>
          <t>Vào chi tiết đơn, bấm Hủy</t>
        </is>
      </c>
      <c r="F25" s="19" t="inlineStr">
        <is>
          <t>—</t>
        </is>
      </c>
      <c r="G25" s="19" t="inlineStr">
        <is>
          <t>Đơn chuyển "Đã hủy", tồn kho được cộng lại</t>
        </is>
      </c>
      <c r="H25" s="20" t="n"/>
      <c r="I25" s="21" t="n"/>
      <c r="J25" s="19" t="n"/>
    </row>
    <row r="26" ht="23.85" customHeight="1" s="14">
      <c r="A26" s="18" t="inlineStr">
        <is>
          <t>TC22</t>
        </is>
      </c>
      <c r="B26" s="19" t="inlineStr">
        <is>
          <t>IMEI</t>
        </is>
      </c>
      <c r="C26" s="19" t="inlineStr">
        <is>
          <t>Gán IMEI hợp lệ</t>
        </is>
      </c>
      <c r="D26" s="19" t="inlineStr">
        <is>
          <t>Đăng nhập nhanvien, có đơn chưa gán IMEI</t>
        </is>
      </c>
      <c r="E26" s="19" t="inlineStr">
        <is>
          <t>Gán IMEI cho đơn</t>
        </is>
      </c>
      <c r="F26" s="19" t="inlineStr">
        <is>
          <t>IMEI=356789012345678</t>
        </is>
      </c>
      <c r="G26" s="19" t="inlineStr">
        <is>
          <t>Lưu thành công, đơn chuyển "Đã xác nhận"</t>
        </is>
      </c>
      <c r="H26" s="20" t="n"/>
      <c r="I26" s="21" t="n"/>
      <c r="J26" s="19" t="n"/>
    </row>
    <row r="27" ht="15" customHeight="1" s="14">
      <c r="A27" s="18" t="inlineStr">
        <is>
          <t>TC23</t>
        </is>
      </c>
      <c r="B27" s="19" t="inlineStr">
        <is>
          <t>IMEI</t>
        </is>
      </c>
      <c r="C27" s="19" t="inlineStr">
        <is>
          <t>IMEI sai định dạng</t>
        </is>
      </c>
      <c r="D27" s="19" t="inlineStr">
        <is>
          <t>Như trên</t>
        </is>
      </c>
      <c r="E27" s="19" t="inlineStr">
        <is>
          <t>Nhập IMEI 14 số</t>
        </is>
      </c>
      <c r="F27" s="19" t="inlineStr">
        <is>
          <t>IMEI=35678901234567</t>
        </is>
      </c>
      <c r="G27" s="19" t="inlineStr">
        <is>
          <t>Lỗi "IMEI phải gồm đúng 15 chữ số"</t>
        </is>
      </c>
      <c r="H27" s="20" t="n"/>
      <c r="I27" s="21" t="n"/>
      <c r="J27" s="19" t="n"/>
    </row>
    <row r="28" ht="23.85" customHeight="1" s="14">
      <c r="A28" s="18" t="inlineStr">
        <is>
          <t>TC24</t>
        </is>
      </c>
      <c r="B28" s="19" t="inlineStr">
        <is>
          <t>IMEI</t>
        </is>
      </c>
      <c r="C28" s="19" t="inlineStr">
        <is>
          <t>IMEI trùng máy đã bán</t>
        </is>
      </c>
      <c r="D28" s="19" t="inlineStr">
        <is>
          <t>IMEI 351234560000001 đã bán</t>
        </is>
      </c>
      <c r="E28" s="19" t="inlineStr">
        <is>
          <t>Gán IMEI đã dùng</t>
        </is>
      </c>
      <c r="F28" s="19" t="inlineStr">
        <is>
          <t>IMEI=351234560000001</t>
        </is>
      </c>
      <c r="G28" s="19" t="inlineStr">
        <is>
          <t>Lỗi "IMEI đã được gán cho máy khác"</t>
        </is>
      </c>
      <c r="H28" s="20" t="n"/>
      <c r="I28" s="21" t="n"/>
      <c r="J28" s="19" t="n"/>
    </row>
    <row r="29" ht="23.85" customHeight="1" s="14">
      <c r="A29" s="18" t="inlineStr">
        <is>
          <t>TC25</t>
        </is>
      </c>
      <c r="B29" s="19" t="inlineStr">
        <is>
          <t>Tiến độ đơn</t>
        </is>
      </c>
      <c r="C29" s="19" t="inlineStr">
        <is>
          <t>Chuyển Đang giao khi chưa đủ IMEI</t>
        </is>
      </c>
      <c r="D29" s="19" t="inlineStr">
        <is>
          <t>Đơn Đã xác nhận, còn máy chưa có IMEI</t>
        </is>
      </c>
      <c r="E29" s="19" t="inlineStr">
        <is>
          <t>Bấm "Đang giao"</t>
        </is>
      </c>
      <c r="F29" s="19" t="inlineStr">
        <is>
          <t>—</t>
        </is>
      </c>
      <c r="G29" s="19" t="inlineStr">
        <is>
          <t>Lỗi "Phải gán IMEI cho tất cả máy...", trạng thái không đổi</t>
        </is>
      </c>
      <c r="H29" s="20" t="n"/>
      <c r="I29" s="21" t="n"/>
      <c r="J29" s="19" t="n"/>
    </row>
    <row r="30" ht="23.85" customHeight="1" s="14">
      <c r="A30" s="18" t="inlineStr">
        <is>
          <t>TC26</t>
        </is>
      </c>
      <c r="B30" s="19" t="inlineStr">
        <is>
          <t>Bảo hành</t>
        </is>
      </c>
      <c r="C30" s="19" t="inlineStr">
        <is>
          <t>Tra cứu IMEI còn bảo hành</t>
        </is>
      </c>
      <c r="D30" s="19" t="inlineStr">
        <is>
          <t>Dữ liệu mẫu</t>
        </is>
      </c>
      <c r="E30" s="19" t="inlineStr">
        <is>
          <t>Mở /BaoHanh, nhập IMEI</t>
        </is>
      </c>
      <c r="F30" s="19" t="inlineStr">
        <is>
          <t>IMEI=351234560000001</t>
        </is>
      </c>
      <c r="G30" s="19" t="inlineStr">
        <is>
          <t>Hiện tên máy, ngày mua, hạn bảo hành, trạng thái</t>
        </is>
      </c>
      <c r="H30" s="20" t="n"/>
      <c r="I30" s="21" t="n"/>
      <c r="J30" s="19" t="n"/>
    </row>
    <row r="31" ht="23.85" customHeight="1" s="14">
      <c r="A31" s="18" t="inlineStr">
        <is>
          <t>TC27</t>
        </is>
      </c>
      <c r="B31" s="19" t="inlineStr">
        <is>
          <t>CRUD Hãng</t>
        </is>
      </c>
      <c r="C31" s="19" t="inlineStr">
        <is>
          <t>Xóa hãng còn sản phẩm</t>
        </is>
      </c>
      <c r="D31" s="19" t="inlineStr">
        <is>
          <t>Đăng nhập admin</t>
        </is>
      </c>
      <c r="E31" s="19" t="inlineStr">
        <is>
          <t>Xóa hãng Apple</t>
        </is>
      </c>
      <c r="F31" s="19" t="inlineStr">
        <is>
          <t>—</t>
        </is>
      </c>
      <c r="G31" s="19" t="inlineStr">
        <is>
          <t>Thông báo không thể xóa vì còn sản phẩm; dữ liệu giữ nguyên</t>
        </is>
      </c>
      <c r="H31" s="20" t="n"/>
      <c r="I31" s="21" t="n"/>
      <c r="J31" s="19" t="n"/>
    </row>
    <row r="32" ht="15" customHeight="1" s="14">
      <c r="A32" s="18" t="inlineStr">
        <is>
          <t>TC28</t>
        </is>
      </c>
      <c r="B32" s="19" t="inlineStr">
        <is>
          <t>CRUD Phiên bản</t>
        </is>
      </c>
      <c r="C32" s="19" t="inlineStr">
        <is>
          <t>Giá bán không hợp lệ</t>
        </is>
      </c>
      <c r="D32" s="19" t="inlineStr">
        <is>
          <t>Đăng nhập admin</t>
        </is>
      </c>
      <c r="E32" s="19" t="inlineStr">
        <is>
          <t>Thêm phiên bản giá 0</t>
        </is>
      </c>
      <c r="F32" s="19" t="inlineStr">
        <is>
          <t>GiaBan=0</t>
        </is>
      </c>
      <c r="G32" s="19" t="inlineStr">
        <is>
          <t>Lỗi "Giá bán phải lớn hơn 0"</t>
        </is>
      </c>
      <c r="H32" s="20" t="n"/>
      <c r="I32" s="21" t="n"/>
      <c r="J32" s="19" t="n"/>
    </row>
    <row r="33" ht="23.85" customHeight="1" s="14">
      <c r="A33" s="18" t="inlineStr">
        <is>
          <t>TC29</t>
        </is>
      </c>
      <c r="B33" s="19" t="inlineStr">
        <is>
          <t>Upload</t>
        </is>
      </c>
      <c r="C33" s="19" t="inlineStr">
        <is>
          <t>Upload file không phải ảnh</t>
        </is>
      </c>
      <c r="D33" s="19" t="inlineStr">
        <is>
          <t>Đăng nhập admin</t>
        </is>
      </c>
      <c r="E33" s="19" t="inlineStr">
        <is>
          <t>Sửa sản phẩm, chọn file .exe đổi tên thành .jpg</t>
        </is>
      </c>
      <c r="F33" s="19" t="inlineStr">
        <is>
          <t>virus.jpg</t>
        </is>
      </c>
      <c r="G33" s="19" t="inlineStr">
        <is>
          <t>Lỗi "Nội dung file không phải ảnh hợp lệ"</t>
        </is>
      </c>
      <c r="H33" s="20" t="n"/>
      <c r="I33" s="21" t="n"/>
      <c r="J33" s="19" t="n"/>
    </row>
    <row r="34" ht="57.45" customHeight="1" s="14">
      <c r="A34" s="18" t="inlineStr">
        <is>
          <t>TC30</t>
        </is>
      </c>
      <c r="B34" s="19" t="inlineStr">
        <is>
          <t>Đánh giá</t>
        </is>
      </c>
      <c r="C34" s="19" t="inlineStr">
        <is>
          <t>Đánh giá sản phẩm đã mua</t>
        </is>
      </c>
      <c r="D34" s="19" t="inlineStr">
        <is>
          <t>khachhang có đơn Hoàn thành chứa sản phẩm chưa đánh giá (có thể tạo đơn rồi cho admin chuyển tới Hoàn thành)</t>
        </is>
      </c>
      <c r="E34" s="19" t="inlineStr">
        <is>
          <t>Chọn 5 sao, nhập nội dung, Gửi</t>
        </is>
      </c>
      <c r="F34" s="19" t="inlineStr">
        <is>
          <t>Diem=5</t>
        </is>
      </c>
      <c r="G34" s="19" t="inlineStr">
        <is>
          <t>Đánh giá hiển thị; điểm trung bình cập nhật</t>
        </is>
      </c>
      <c r="H34" s="20" t="n"/>
      <c r="I34" s="21" t="n"/>
      <c r="J34" s="19" t="n"/>
    </row>
    <row r="35" ht="23.85" customHeight="1" s="14">
      <c r="A35" s="18" t="inlineStr">
        <is>
          <t>TC31</t>
        </is>
      </c>
      <c r="B35" s="19" t="inlineStr">
        <is>
          <t>Bảo mật</t>
        </is>
      </c>
      <c r="C35" s="19" t="inlineStr">
        <is>
          <t>Chống XSS trong đánh giá</t>
        </is>
      </c>
      <c r="D35" s="19" t="inlineStr">
        <is>
          <t>Như trên (sản phẩm khác đã mua)</t>
        </is>
      </c>
      <c r="E35" s="19" t="inlineStr">
        <is>
          <t>Nhập nội dung chứa script</t>
        </is>
      </c>
      <c r="F35" s="19" t="inlineStr">
        <is>
          <t>&lt;script&gt;alert(1)&lt;/script&gt;&lt;b&gt;Tốt&lt;/b&gt;</t>
        </is>
      </c>
      <c r="G35" s="19" t="inlineStr">
        <is>
          <t>Script bị loại bỏ, chỉ còn chữ đậm "Tốt"; không hiện hộp alert</t>
        </is>
      </c>
      <c r="H35" s="20" t="n"/>
      <c r="I35" s="21" t="n"/>
      <c r="J35" s="19" t="n"/>
    </row>
    <row r="36" ht="23.85" customHeight="1" s="14">
      <c r="A36" s="18" t="inlineStr">
        <is>
          <t>TC32</t>
        </is>
      </c>
      <c r="B36" s="19" t="inlineStr">
        <is>
          <t>Bảo mật</t>
        </is>
      </c>
      <c r="C36" s="19" t="inlineStr">
        <is>
          <t>Chống SQL Injection ô tìm kiếm</t>
        </is>
      </c>
      <c r="D36" s="19" t="inlineStr">
        <is>
          <t>—</t>
        </is>
      </c>
      <c r="E36" s="19" t="inlineStr">
        <is>
          <t>Tìm kiếm chuỗi SQL</t>
        </is>
      </c>
      <c r="F36" s="19" t="inlineStr">
        <is>
          <t>q=' OR 1=1 --</t>
        </is>
      </c>
      <c r="G36" s="19" t="inlineStr">
        <is>
          <t>Không lỗi, không trả về toàn bộ dữ liệu (0 kết quả)</t>
        </is>
      </c>
      <c r="H36" s="20" t="n"/>
      <c r="I36" s="21" t="n"/>
      <c r="J36" s="19" t="n"/>
    </row>
    <row r="37" ht="23.85" customHeight="1" s="14">
      <c r="A37" s="18" t="inlineStr">
        <is>
          <t>TC33</t>
        </is>
      </c>
      <c r="B37" s="19" t="inlineStr">
        <is>
          <t>Bảo mật</t>
        </is>
      </c>
      <c r="C37" s="19" t="inlineStr">
        <is>
          <t>Chống CSRF</t>
        </is>
      </c>
      <c r="D37" s="19" t="inlineStr">
        <is>
          <t>Đăng nhập admin</t>
        </is>
      </c>
      <c r="E37" s="19" t="inlineStr">
        <is>
          <t>Gửi POST xóa từ trang ngoài không có token</t>
        </is>
      </c>
      <c r="F37" s="19" t="inlineStr">
        <is>
          <t>—</t>
        </is>
      </c>
      <c r="G37" s="19" t="inlineStr">
        <is>
          <t>Trả lỗi 400 Bad Request, không xóa</t>
        </is>
      </c>
      <c r="H37" s="20" t="n"/>
      <c r="I37" s="21" t="n"/>
      <c r="J37" s="19" t="n"/>
    </row>
    <row r="38" ht="23.85" customHeight="1" s="14">
      <c r="A38" s="18" t="inlineStr">
        <is>
          <t>TC34</t>
        </is>
      </c>
      <c r="B38" s="19" t="inlineStr">
        <is>
          <t>Thống kê</t>
        </is>
      </c>
      <c r="C38" s="19" t="inlineStr">
        <is>
          <t>Xem thống kê doanh thu</t>
        </is>
      </c>
      <c r="D38" s="19" t="inlineStr">
        <is>
          <t>Đăng nhập admin</t>
        </is>
      </c>
      <c r="E38" s="19" t="inlineStr">
        <is>
          <t>Mở Thống kê, chọn năm</t>
        </is>
      </c>
      <c r="F38" s="19" t="inlineStr">
        <is>
          <t>Năm hiện tại</t>
        </is>
      </c>
      <c r="G38" s="19" t="inlineStr">
        <is>
          <t>Biểu đồ doanh thu theo tháng, theo hãng, top 5 bán chạy khớp dữ liệu đơn hoàn thành</t>
        </is>
      </c>
      <c r="H38" s="20" t="n"/>
      <c r="I38" s="21" t="n"/>
      <c r="J38" s="19" t="n"/>
    </row>
    <row r="39" ht="23.85" customHeight="1" s="14">
      <c r="A39" s="18" t="inlineStr">
        <is>
          <t>TC35</t>
        </is>
      </c>
      <c r="B39" s="19" t="inlineStr">
        <is>
          <t>Ảnh sản phẩm</t>
        </is>
      </c>
      <c r="C39" s="19" t="inlineStr">
        <is>
          <t>Thay ảnh đại diện</t>
        </is>
      </c>
      <c r="D39" s="19" t="inlineStr">
        <is>
          <t>Đăng nhập admin, sản phẩm iPhone 16 Pro Max</t>
        </is>
      </c>
      <c r="E39" s="19" t="inlineStr">
        <is>
          <t>1. Admin → Sản phẩm → Sửa
2. Chọn tệp ảnh mới (xem trước hiện ngay)
3. Bấm Lưu</t>
        </is>
      </c>
      <c r="F39" s="19" t="inlineStr">
        <is>
          <t>anh-moi.jpg (1,2 MB)</t>
        </is>
      </c>
      <c r="G39" s="19" t="inlineStr">
        <is>
          <t>Ảnh mới hiện ở danh sách và trang chi tiết; tệp cũ trong /uploads bị xóa (ảnh mẫu /images giữ nguyên)</t>
        </is>
      </c>
      <c r="H39" s="20" t="n"/>
      <c r="I39" s="21" t="n"/>
      <c r="J39" s="19" t="n"/>
    </row>
    <row r="40" ht="23.85" customHeight="1" s="14">
      <c r="A40" s="18" t="inlineStr">
        <is>
          <t>TC36</t>
        </is>
      </c>
      <c r="B40" s="19" t="inlineStr">
        <is>
          <t>Ảnh sản phẩm</t>
        </is>
      </c>
      <c r="C40" s="19" t="inlineStr">
        <is>
          <t>Từ chối ảnh sai định dạng / quá lớn</t>
        </is>
      </c>
      <c r="D40" s="19" t="inlineStr">
        <is>
          <t>Như TC35</t>
        </is>
      </c>
      <c r="E40" s="19" t="inlineStr">
        <is>
          <t>Chọn tệp không hợp lệ rồi Lưu</t>
        </is>
      </c>
      <c r="F40" s="19" t="inlineStr">
        <is>
          <t>tailieu.pdf đổi tên thành .jpg; anh-lon.png (6 MB)</t>
        </is>
      </c>
      <c r="G40" s="19" t="inlineStr">
        <is>
          <t>Báo lỗi "không phải ảnh hợp lệ" / "vượt quá 5 MB", dữ liệu không đổi</t>
        </is>
      </c>
      <c r="H40" s="20" t="n"/>
      <c r="I40" s="21" t="n"/>
      <c r="J40" s="19" t="n"/>
    </row>
    <row r="41" ht="23.85" customHeight="1" s="14">
      <c r="A41" s="18" t="inlineStr">
        <is>
          <t>TC37</t>
        </is>
      </c>
      <c r="B41" s="19" t="inlineStr">
        <is>
          <t>Ảnh sản phẩm</t>
        </is>
      </c>
      <c r="C41" s="19" t="inlineStr">
        <is>
          <t>Thêm nhiều ảnh vào thư viện</t>
        </is>
      </c>
      <c r="D41" s="19" t="inlineStr">
        <is>
          <t>Như TC35</t>
        </is>
      </c>
      <c r="E41" s="19" t="inlineStr">
        <is>
          <t>Ở ô Thư viện ảnh chọn 3 tệp cùng lúc, Lưu</t>
        </is>
      </c>
      <c r="F41" s="19" t="inlineStr">
        <is>
          <t>3 ảnh .png</t>
        </is>
      </c>
      <c r="G41" s="19" t="inlineStr">
        <is>
          <t>Thư viện tăng thêm 3 ảnh (bảng HinhAnhSanPham); trang chi tiết hiện dãy ảnh nhỏ, bấm ảnh nhỏ đổi ảnh lớn</t>
        </is>
      </c>
      <c r="H41" s="20" t="n"/>
      <c r="I41" s="21" t="n"/>
      <c r="J41" s="19" t="n"/>
    </row>
    <row r="42" ht="23.85" customHeight="1" s="14">
      <c r="A42" s="18" t="inlineStr">
        <is>
          <t>TC38</t>
        </is>
      </c>
      <c r="B42" s="19" t="inlineStr">
        <is>
          <t>Ảnh sản phẩm</t>
        </is>
      </c>
      <c r="C42" s="19" t="inlineStr">
        <is>
          <t>Đặt ảnh phụ làm ảnh chính</t>
        </is>
      </c>
      <c r="D42" s="19" t="inlineStr">
        <is>
          <t>Sản phẩm có ≥ 1 ảnh phụ</t>
        </is>
      </c>
      <c r="E42" s="19" t="inlineStr">
        <is>
          <t>Bấm "Ảnh chính" dưới một ảnh phụ</t>
        </is>
      </c>
      <c r="F42" s="19" t="inlineStr">
        <is>
          <t>—</t>
        </is>
      </c>
      <c r="G42" s="19" t="inlineStr">
        <is>
          <t>Ảnh đó thành ảnh đại diện, ảnh đại diện cũ chuyển vào thư viện</t>
        </is>
      </c>
      <c r="H42" s="20" t="n"/>
      <c r="I42" s="21" t="n"/>
      <c r="J42" s="19" t="n"/>
    </row>
    <row r="43" ht="23.85" customHeight="1" s="14">
      <c r="A43" s="18" t="inlineStr">
        <is>
          <t>TC39</t>
        </is>
      </c>
      <c r="B43" s="19" t="inlineStr">
        <is>
          <t>Ảnh sản phẩm</t>
        </is>
      </c>
      <c r="C43" s="19" t="inlineStr">
        <is>
          <t>Xóa ảnh phụ và giới hạn 10 ảnh</t>
        </is>
      </c>
      <c r="D43" s="19" t="inlineStr">
        <is>
          <t>Sản phẩm có 10 ảnh phụ</t>
        </is>
      </c>
      <c r="E43" s="19" t="inlineStr">
        <is>
          <t>1. Thêm ảnh thứ 11
2. Bấm "Xóa" một ảnh, xác nhận</t>
        </is>
      </c>
      <c r="F43" s="19" t="inlineStr">
        <is>
          <t>1 ảnh .jpg</t>
        </is>
      </c>
      <c r="G43" s="19" t="inlineStr">
        <is>
          <t>B1: báo lỗi tối đa 10 ảnh; B2: ảnh bị xóa khỏi thư viện và khỏi đĩa, còn 9/10</t>
        </is>
      </c>
      <c r="H43" s="20" t="n"/>
      <c r="I43" s="21" t="n"/>
      <c r="J43" s="19" t="n"/>
    </row>
  </sheetData>
  <autoFilter ref="A4:J38"/>
  <mergeCells count="2">
    <mergeCell ref="A1:J1"/>
    <mergeCell ref="A2:J2"/>
  </mergeCells>
  <conditionalFormatting sqref="I5:I38">
    <cfRule type="cellIs" rank="0" priority="2" equalAverage="0" operator="equal" aboveAverage="0" dxfId="5" text="" percent="0" bottom="0">
      <formula>"Pass"</formula>
    </cfRule>
    <cfRule type="cellIs" rank="0" priority="3" equalAverage="0" operator="equal" aboveAverage="0" dxfId="6" text="" percent="0" bottom="0">
      <formula>"Fail"</formula>
    </cfRule>
  </conditionalFormatting>
  <dataValidations count="1">
    <dataValidation sqref="I5:I38" showDropDown="0" showInputMessage="0" showErrorMessage="0" allowBlank="1" type="list" errorStyle="stop" operator="between">
      <formula1>"Pass,Fail"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14" customWidth="1" style="13" min="2" max="2"/>
  </cols>
  <sheetData>
    <row r="1" ht="16.15" customHeight="1" s="14">
      <c r="A1" s="23" t="inlineStr">
        <is>
          <t>TỔNG HỢP KẾT QUẢ KIỂM THỬ</t>
        </is>
      </c>
    </row>
    <row r="2"/>
    <row r="3" ht="15" customHeight="1" s="14">
      <c r="A3" s="24" t="inlineStr">
        <is>
          <t>Tổng số test case</t>
        </is>
      </c>
      <c r="B3" s="25">
        <f>COUNTA(TestCases!A5:A43)</f>
        <v/>
      </c>
    </row>
    <row r="4" ht="15" customHeight="1" s="14">
      <c r="A4" s="25" t="inlineStr">
        <is>
          <t>Pass</t>
        </is>
      </c>
      <c r="B4" s="25">
        <f>COUNTIF(TestCases!I5:I43,"Pass")</f>
        <v/>
      </c>
    </row>
    <row r="5" ht="15" customHeight="1" s="14">
      <c r="A5" s="25" t="inlineStr">
        <is>
          <t>Fail</t>
        </is>
      </c>
      <c r="B5" s="25">
        <f>COUNTIF(TestCases!I5:I43,"Fail")</f>
        <v/>
      </c>
    </row>
    <row r="6" ht="15" customHeight="1" s="14">
      <c r="A6" s="25" t="inlineStr">
        <is>
          <t>Chưa chạy</t>
        </is>
      </c>
      <c r="B6" s="25">
        <f>B3-B4-B5</f>
        <v/>
      </c>
    </row>
    <row r="7" ht="15" customHeight="1" s="14">
      <c r="A7" s="25" t="inlineStr">
        <is>
          <t>Tỷ lệ Pass (trên số đã chạy)</t>
        </is>
      </c>
      <c r="B7" s="26">
        <f>IF(B4+B5=0,0,B4/(B4+B5))</f>
        <v/>
      </c>
    </row>
    <row r="8"/>
    <row r="9" ht="15" customHeight="1" s="14">
      <c r="A9" s="24" t="inlineStr">
        <is>
          <t>Số ca theo chức năng</t>
        </is>
      </c>
    </row>
    <row r="10" ht="15" customHeight="1" s="14">
      <c r="A10" s="25" t="inlineStr">
        <is>
          <t>Tài khoản</t>
        </is>
      </c>
      <c r="B10" s="25">
        <f>COUNTIF(TestCases!B5:B43,A10)</f>
        <v/>
      </c>
    </row>
    <row r="11" ht="15" customHeight="1" s="14">
      <c r="A11" s="25" t="inlineStr">
        <is>
          <t>Phân quyền</t>
        </is>
      </c>
      <c r="B11" s="25">
        <f>COUNTIF(TestCases!B5:B43,A11)</f>
        <v/>
      </c>
    </row>
    <row r="12" ht="15" customHeight="1" s="14">
      <c r="A12" s="25" t="inlineStr">
        <is>
          <t>Tìm kiếm</t>
        </is>
      </c>
      <c r="B12" s="25">
        <f>COUNTIF(TestCases!B5:B43,A12)</f>
        <v/>
      </c>
    </row>
    <row r="13" ht="15" customHeight="1" s="14">
      <c r="A13" s="25" t="inlineStr">
        <is>
          <t>Lọc</t>
        </is>
      </c>
      <c r="B13" s="25">
        <f>COUNTIF(TestCases!B5:B43,A13)</f>
        <v/>
      </c>
    </row>
    <row r="14" ht="15" customHeight="1" s="14">
      <c r="A14" s="25" t="inlineStr">
        <is>
          <t>Phân trang</t>
        </is>
      </c>
      <c r="B14" s="25">
        <f>COUNTIF(TestCases!B5:B43,A14)</f>
        <v/>
      </c>
    </row>
    <row r="15" ht="15" customHeight="1" s="14">
      <c r="A15" s="25" t="inlineStr">
        <is>
          <t>So sánh (Session)</t>
        </is>
      </c>
      <c r="B15" s="25">
        <f>COUNTIF(TestCases!B5:B43,A15)</f>
        <v/>
      </c>
    </row>
    <row r="16" ht="15" customHeight="1" s="14">
      <c r="A16" s="25" t="inlineStr">
        <is>
          <t>Đã xem (Cookie)</t>
        </is>
      </c>
      <c r="B16" s="25">
        <f>COUNTIF(TestCases!B5:B43,A16)</f>
        <v/>
      </c>
    </row>
    <row r="17" ht="15" customHeight="1" s="14">
      <c r="A17" s="25" t="inlineStr">
        <is>
          <t>Giỏ hàng (Session)</t>
        </is>
      </c>
      <c r="B17" s="25">
        <f>COUNTIF(TestCases!B5:B43,A17)</f>
        <v/>
      </c>
    </row>
    <row r="18" ht="15" customHeight="1" s="14">
      <c r="A18" s="25" t="inlineStr">
        <is>
          <t>Đặt hàng</t>
        </is>
      </c>
      <c r="B18" s="25">
        <f>COUNTIF(TestCases!B5:B43,A18)</f>
        <v/>
      </c>
    </row>
    <row r="19" ht="15" customHeight="1" s="14">
      <c r="A19" s="25" t="inlineStr">
        <is>
          <t>Thanh toán</t>
        </is>
      </c>
      <c r="B19" s="25">
        <f>COUNTIF(TestCases!B5:B43,A19)</f>
        <v/>
      </c>
    </row>
    <row r="20" ht="15" customHeight="1" s="14">
      <c r="A20" s="25" t="inlineStr">
        <is>
          <t>Đơn hàng</t>
        </is>
      </c>
      <c r="B20" s="25">
        <f>COUNTIF(TestCases!B5:B43,A20)</f>
        <v/>
      </c>
    </row>
    <row r="21" ht="15" customHeight="1" s="14">
      <c r="A21" s="25" t="inlineStr">
        <is>
          <t>IMEI</t>
        </is>
      </c>
      <c r="B21" s="25">
        <f>COUNTIF(TestCases!B5:B43,A21)</f>
        <v/>
      </c>
    </row>
    <row r="22" ht="15" customHeight="1" s="14">
      <c r="A22" s="25" t="inlineStr">
        <is>
          <t>Tiến độ đơn</t>
        </is>
      </c>
      <c r="B22" s="25">
        <f>COUNTIF(TestCases!B5:B43,A22)</f>
        <v/>
      </c>
    </row>
    <row r="23" ht="15" customHeight="1" s="14">
      <c r="A23" s="25" t="inlineStr">
        <is>
          <t>Bảo hành</t>
        </is>
      </c>
      <c r="B23" s="25">
        <f>COUNTIF(TestCases!B5:B43,A23)</f>
        <v/>
      </c>
    </row>
    <row r="24" ht="15" customHeight="1" s="14">
      <c r="A24" s="25" t="inlineStr">
        <is>
          <t>CRUD Hãng</t>
        </is>
      </c>
      <c r="B24" s="25">
        <f>COUNTIF(TestCases!B5:B43,A24)</f>
        <v/>
      </c>
    </row>
    <row r="25" ht="15" customHeight="1" s="14">
      <c r="A25" s="25" t="inlineStr">
        <is>
          <t>CRUD Phiên bản</t>
        </is>
      </c>
      <c r="B25" s="25">
        <f>COUNTIF(TestCases!B5:B43,A25)</f>
        <v/>
      </c>
    </row>
    <row r="26" ht="15" customHeight="1" s="14">
      <c r="A26" s="25" t="inlineStr">
        <is>
          <t>Upload</t>
        </is>
      </c>
      <c r="B26" s="25">
        <f>COUNTIF(TestCases!B5:B43,A26)</f>
        <v/>
      </c>
    </row>
    <row r="27" ht="15" customHeight="1" s="14">
      <c r="A27" s="25" t="inlineStr">
        <is>
          <t>Đánh giá</t>
        </is>
      </c>
      <c r="B27" s="25">
        <f>COUNTIF(TestCases!B5:B43,A27)</f>
        <v/>
      </c>
    </row>
    <row r="28" ht="15" customHeight="1" s="14">
      <c r="A28" s="25" t="inlineStr">
        <is>
          <t>Bảo mật</t>
        </is>
      </c>
      <c r="B28" s="25">
        <f>COUNTIF(TestCases!B5:B43,A28)</f>
        <v/>
      </c>
    </row>
    <row r="29" ht="15" customHeight="1" s="14">
      <c r="A29" s="25" t="inlineStr">
        <is>
          <t>Thống kê</t>
        </is>
      </c>
      <c r="B29" s="25">
        <f>COUNTIF(TestCases!B5:B43,A29)</f>
        <v/>
      </c>
    </row>
    <row r="30">
      <c r="A30" s="25" t="inlineStr">
        <is>
          <t>Ảnh sản phẩm</t>
        </is>
      </c>
      <c r="B30" s="25">
        <f>COUNTIF(TestCases!B5:B43,A30)</f>
        <v/>
      </c>
    </row>
    <row r="31"/>
    <row r="32"/>
    <row r="33"/>
    <row r="34"/>
    <row r="35"/>
    <row r="36"/>
    <row r="37"/>
    <row r="38"/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2026-10-09T11:46:44Z</dcterms:created>
  <dcterms:modified xmlns:dcterms="http://purl.org/dc/terms/" xmlns:xsi="http://www.w3.org/2001/XMLSchema-instance" xsi:type="dcterms:W3CDTF">2026-10-10T08:05:24Z</dcterms:modified>
  <cp:revision>0</cp:revision>
</cp:coreProperties>
</file>